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75" yWindow="1740" windowWidth="13845" windowHeight="11385" tabRatio="600" firstSheet="0" activeTab="0" autoFilterDateGrouping="1"/>
  </bookViews>
  <sheets>
    <sheet xmlns:r="http://schemas.openxmlformats.org/officeDocument/2006/relationships" name="교구" sheetId="1" state="visible" r:id="rId1"/>
    <sheet xmlns:r="http://schemas.openxmlformats.org/officeDocument/2006/relationships" name="Sheet2" sheetId="2" state="visible" r:id="rId2"/>
  </sheets>
  <definedNames>
    <definedName name="_xlnm.Print_Titles" localSheetId="0">'교구'!$11:$11</definedName>
  </definedNames>
  <calcPr calcId="144525" fullCalcOnLoad="1"/>
</workbook>
</file>

<file path=xl/styles.xml><?xml version="1.0" encoding="utf-8"?>
<styleSheet xmlns="http://schemas.openxmlformats.org/spreadsheetml/2006/main">
  <numFmts count="4">
    <numFmt numFmtId="164" formatCode="yyyy&quot;년&quot;\ m&quot;월&quot;\ d&quot;일&quot;;@"/>
    <numFmt numFmtId="165" formatCode="#,##0_ "/>
    <numFmt numFmtId="166" formatCode="_-* #,##0_-;\-* #,##0_-;_-* &quot;-&quot;_-;_-@_-"/>
    <numFmt numFmtId="167" formatCode="&quot;₩&quot;#,##0;[Red]\-&quot;₩&quot;#,##0"/>
  </numFmts>
  <fonts count="19">
    <font>
      <name val="돋움"/>
      <color rgb="FF000000"/>
      <sz val="11"/>
    </font>
    <font>
      <name val="맑은 고딕"/>
      <charset val="129"/>
      <family val="3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0"/>
    </font>
    <font>
      <name val="굴림"/>
      <charset val="129"/>
      <family val="3"/>
      <b val="1"/>
      <color rgb="FF000000"/>
      <sz val="11"/>
      <u val="single"/>
    </font>
    <font>
      <name val="굴림"/>
      <charset val="129"/>
      <family val="3"/>
      <color rgb="FF000000"/>
      <sz val="9.5"/>
    </font>
    <font>
      <name val="굴림"/>
      <charset val="129"/>
      <family val="3"/>
      <color rgb="FF000000"/>
      <sz val="8.5"/>
    </font>
    <font>
      <name val="굴림"/>
      <charset val="129"/>
      <family val="3"/>
      <b val="1"/>
      <color rgb="FF000000"/>
      <sz val="10"/>
      <u val="single"/>
    </font>
    <font>
      <name val="바탕"/>
      <charset val="129"/>
      <family val="1"/>
      <color rgb="FF000000"/>
      <sz val="10"/>
    </font>
    <font>
      <name val="돋움"/>
      <charset val="129"/>
      <family val="3"/>
      <color rgb="FF000000"/>
      <sz val="10"/>
    </font>
    <font>
      <name val="굴림"/>
      <charset val="129"/>
      <family val="3"/>
      <color rgb="FF000000"/>
      <sz val="18"/>
      <u val="single"/>
    </font>
    <font>
      <name val="굴림"/>
      <charset val="129"/>
      <family val="3"/>
      <color rgb="FF000000"/>
      <sz val="9"/>
    </font>
    <font>
      <name val="굴림"/>
      <charset val="129"/>
      <family val="3"/>
      <color rgb="FF000000"/>
      <sz val="11"/>
    </font>
    <font>
      <name val="굴림"/>
      <charset val="129"/>
      <family val="3"/>
      <color rgb="FF000000"/>
      <sz val="8"/>
    </font>
    <font>
      <name val="굴림"/>
      <charset val="129"/>
      <family val="3"/>
      <color rgb="FF111111"/>
      <sz val="10"/>
    </font>
    <font>
      <name val="굴림"/>
      <charset val="129"/>
      <family val="3"/>
      <color rgb="FF111111"/>
      <sz val="9"/>
    </font>
    <font>
      <name val="굴림"/>
      <charset val="129"/>
      <family val="3"/>
      <b val="1"/>
      <color rgb="FF000000"/>
      <sz val="20"/>
      <u val="single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double">
        <color auto="1"/>
      </bottom>
      <diagonal/>
    </border>
    <border>
      <left style="thin">
        <color rgb="FF000000"/>
      </left>
      <right style="thin">
        <color auto="1"/>
      </right>
      <top/>
      <bottom style="double">
        <color rgb="FF000000"/>
      </bottom>
      <diagonal/>
    </border>
    <border>
      <left style="thin">
        <color auto="1"/>
      </left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rgb="FF000000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 applyAlignment="1">
      <alignment vertical="center"/>
    </xf>
    <xf numFmtId="0" fontId="17" fillId="0" borderId="0" applyAlignment="1">
      <alignment vertical="center"/>
    </xf>
    <xf numFmtId="0" fontId="17" fillId="0" borderId="0"/>
    <xf numFmtId="0" fontId="1" fillId="0" borderId="0" applyAlignment="1">
      <alignment vertical="center"/>
    </xf>
    <xf numFmtId="0" fontId="17" fillId="0" borderId="0" applyAlignment="1">
      <alignment vertical="center"/>
    </xf>
    <xf numFmtId="41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3" fontId="2" fillId="0" borderId="4" applyAlignment="1" pivotButton="0" quotePrefix="0" xfId="0">
      <alignment horizontal="center" wrapText="1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3" fontId="2" fillId="0" borderId="6" applyAlignment="1" pivotButton="0" quotePrefix="0" xfId="0">
      <alignment horizontal="right" wrapText="1"/>
    </xf>
    <xf numFmtId="3" fontId="2" fillId="0" borderId="3" applyAlignment="1" pivotButton="0" quotePrefix="0" xfId="2">
      <alignment wrapText="1"/>
    </xf>
    <xf numFmtId="0" fontId="2" fillId="0" borderId="3" applyAlignment="1" pivotButton="0" quotePrefix="0" xfId="2">
      <alignment horizontal="center" wrapText="1" shrinkToFit="1"/>
    </xf>
    <xf numFmtId="3" fontId="2" fillId="0" borderId="2" applyAlignment="1" pivotButton="0" quotePrefix="0" xfId="2">
      <alignment wrapText="1"/>
    </xf>
    <xf numFmtId="0" fontId="2" fillId="0" borderId="2" applyAlignment="1" pivotButton="0" quotePrefix="0" xfId="3">
      <alignment horizontal="center" wrapText="1"/>
    </xf>
    <xf numFmtId="3" fontId="2" fillId="0" borderId="2" applyAlignment="1" pivotButton="0" quotePrefix="0" xfId="3">
      <alignment horizontal="center" wrapText="1"/>
    </xf>
    <xf numFmtId="0" fontId="2" fillId="0" borderId="2" applyAlignment="1" pivotButton="0" quotePrefix="0" xfId="2">
      <alignment horizontal="center" wrapText="1"/>
    </xf>
    <xf numFmtId="0" fontId="2" fillId="0" borderId="7" applyAlignment="1" pivotButton="0" quotePrefix="0" xfId="3">
      <alignment horizontal="center" wrapText="1"/>
    </xf>
    <xf numFmtId="3" fontId="2" fillId="0" borderId="7" applyAlignment="1" pivotButton="0" quotePrefix="0" xfId="3">
      <alignment horizontal="center" wrapText="1"/>
    </xf>
    <xf numFmtId="0" fontId="2" fillId="0" borderId="7" applyAlignment="1" pivotButton="0" quotePrefix="0" xfId="2">
      <alignment horizontal="center" wrapText="1"/>
    </xf>
    <xf numFmtId="3" fontId="2" fillId="0" borderId="7" applyAlignment="1" pivotButton="0" quotePrefix="0" xfId="2">
      <alignment wrapText="1"/>
    </xf>
    <xf numFmtId="0" fontId="11" fillId="0" borderId="8" applyAlignment="1" pivotButton="0" quotePrefix="0" xfId="2">
      <alignment horizontal="center"/>
    </xf>
    <xf numFmtId="0" fontId="2" fillId="0" borderId="3" applyAlignment="1" pivotButton="0" quotePrefix="0" xfId="2">
      <alignment horizontal="center" wrapText="1"/>
    </xf>
    <xf numFmtId="3" fontId="2" fillId="0" borderId="9" applyAlignment="1" pivotButton="0" quotePrefix="0" xfId="4">
      <alignment horizontal="center" wrapText="1"/>
    </xf>
    <xf numFmtId="0" fontId="2" fillId="0" borderId="10" applyAlignment="1" pivotButton="0" quotePrefix="0" xfId="4">
      <alignment horizontal="center" wrapText="1"/>
    </xf>
    <xf numFmtId="0" fontId="2" fillId="0" borderId="11" applyAlignment="1" pivotButton="0" quotePrefix="0" xfId="4">
      <alignment horizontal="center" wrapText="1"/>
    </xf>
    <xf numFmtId="0" fontId="12" fillId="0" borderId="12" applyAlignment="1" pivotButton="0" quotePrefix="0" xfId="4">
      <alignment horizontal="center" wrapText="1"/>
    </xf>
    <xf numFmtId="0" fontId="2" fillId="0" borderId="13" applyAlignment="1" pivotButton="0" quotePrefix="0" xfId="4">
      <alignment horizontal="left" wrapText="1"/>
    </xf>
    <xf numFmtId="165" fontId="2" fillId="0" borderId="13" applyAlignment="1" pivotButton="0" quotePrefix="0" xfId="4">
      <alignment horizontal="right" wrapText="1"/>
    </xf>
    <xf numFmtId="3" fontId="2" fillId="0" borderId="13" applyAlignment="1" pivotButton="0" quotePrefix="0" xfId="4">
      <alignment wrapText="1"/>
    </xf>
    <xf numFmtId="0" fontId="12" fillId="0" borderId="14" applyAlignment="1" pivotButton="0" quotePrefix="0" xfId="4">
      <alignment wrapText="1"/>
    </xf>
    <xf numFmtId="166" fontId="2" fillId="0" borderId="15" applyAlignment="1" pivotButton="0" quotePrefix="0" xfId="5">
      <alignment horizontal="right" wrapText="1"/>
    </xf>
    <xf numFmtId="3" fontId="2" fillId="0" borderId="3" applyAlignment="1" pivotButton="0" quotePrefix="0" xfId="6">
      <alignment horizontal="right" wrapText="1"/>
    </xf>
    <xf numFmtId="0" fontId="13" fillId="0" borderId="2" applyAlignment="1" pivotButton="0" quotePrefix="0" xfId="2">
      <alignment horizontal="center"/>
    </xf>
    <xf numFmtId="0" fontId="2" fillId="0" borderId="3" applyAlignment="1" pivotButton="0" quotePrefix="0" xfId="4">
      <alignment horizontal="center" wrapText="1"/>
    </xf>
    <xf numFmtId="166" fontId="2" fillId="0" borderId="3" applyAlignment="1" pivotButton="0" quotePrefix="0" xfId="5">
      <alignment horizontal="center" wrapText="1"/>
    </xf>
    <xf numFmtId="0" fontId="2" fillId="0" borderId="3" applyAlignment="1" pivotButton="0" quotePrefix="0" xfId="4">
      <alignment horizontal="center"/>
    </xf>
    <xf numFmtId="0" fontId="2" fillId="0" borderId="3" applyAlignment="1" pivotButton="0" quotePrefix="0" xfId="4">
      <alignment horizontal="center"/>
    </xf>
    <xf numFmtId="0" fontId="2" fillId="0" borderId="3" applyAlignment="1" pivotButton="0" quotePrefix="0" xfId="4">
      <alignment horizontal="center"/>
    </xf>
    <xf numFmtId="0" fontId="14" fillId="0" borderId="3" applyAlignment="1" pivotButton="0" quotePrefix="0" xfId="7">
      <alignment horizontal="center"/>
    </xf>
    <xf numFmtId="0" fontId="14" fillId="0" borderId="3" applyAlignment="1" pivotButton="0" quotePrefix="0" xfId="7">
      <alignment horizontal="center" wrapText="1"/>
    </xf>
    <xf numFmtId="0" fontId="2" fillId="2" borderId="3" applyAlignment="1" pivotButton="0" quotePrefix="0" xfId="4">
      <alignment horizontal="center"/>
    </xf>
    <xf numFmtId="0" fontId="2" fillId="2" borderId="3" applyAlignment="1" pivotButton="0" quotePrefix="0" xfId="4">
      <alignment horizontal="center" wrapText="1"/>
    </xf>
    <xf numFmtId="0" fontId="15" fillId="0" borderId="3" applyAlignment="1" pivotButton="0" quotePrefix="0" xfId="7">
      <alignment horizontal="center" wrapText="1"/>
    </xf>
    <xf numFmtId="0" fontId="11" fillId="0" borderId="3" applyAlignment="1" pivotButton="0" quotePrefix="0" xfId="2">
      <alignment horizontal="center" wrapText="1"/>
    </xf>
    <xf numFmtId="167" fontId="3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13" fillId="0" borderId="3" applyAlignment="1" pivotButton="0" quotePrefix="0" xfId="2">
      <alignment horizontal="center"/>
    </xf>
    <xf numFmtId="0" fontId="11" fillId="0" borderId="3" applyAlignment="1" pivotButton="0" quotePrefix="0" xfId="2">
      <alignment horizontal="center"/>
    </xf>
    <xf numFmtId="164" fontId="7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1" fillId="0" borderId="3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/>
    </xf>
    <xf numFmtId="166" fontId="2" fillId="0" borderId="15" applyAlignment="1" pivotButton="0" quotePrefix="0" xfId="5">
      <alignment horizontal="right" wrapText="1"/>
    </xf>
    <xf numFmtId="166" fontId="2" fillId="0" borderId="3" applyAlignment="1" pivotButton="0" quotePrefix="0" xfId="5">
      <alignment horizontal="center" wrapText="1"/>
    </xf>
    <xf numFmtId="0" fontId="0" fillId="0" borderId="0" pivotButton="0" quotePrefix="0" xfId="0"/>
    <xf numFmtId="165" fontId="2" fillId="0" borderId="13" applyAlignment="1" pivotButton="0" quotePrefix="0" xfId="4">
      <alignment horizontal="right" wrapText="1"/>
    </xf>
  </cellXfs>
  <cellStyles count="8">
    <cellStyle name="표준" xfId="0" builtinId="0"/>
    <cellStyle name="표준 3" xfId="1"/>
    <cellStyle name="표준 10" xfId="2"/>
    <cellStyle name="표준 11" xfId="3"/>
    <cellStyle name="표준 10 2" xfId="4"/>
    <cellStyle name="쉼표 [0] 2" xfId="5"/>
    <cellStyle name="표준 6 2 3" xfId="6"/>
    <cellStyle name="표준 32 2" xfId="7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3</row>
      <rowOff>0</rowOff>
    </from>
    <to>
      <col>8</col>
      <colOff>152400</colOff>
      <row>3</row>
      <rowOff>0</rowOff>
    </to>
    <pic>
      <nvPicPr>
        <cNvPr id="45218" name="Picture 20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419974" y="581025"/>
          <a:ext cx="1524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</a:ln>
      </spPr>
    </pic>
    <clientData/>
  </twoCellAnchor>
  <twoCellAnchor editAs="oneCell">
    <from>
      <col>8</col>
      <colOff>0</colOff>
      <row>3</row>
      <rowOff>0</rowOff>
    </from>
    <to>
      <col>8</col>
      <colOff>190500</colOff>
      <row>3</row>
      <rowOff>0</rowOff>
    </to>
    <pic>
      <nvPicPr>
        <cNvPr id="45219" name="Picture 20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419974" y="581025"/>
          <a:ext cx="1905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</a:ln>
      </spPr>
    </pic>
    <clientData/>
  </twoCellAnchor>
  <twoCellAnchor editAs="oneCell">
    <from>
      <col>7</col>
      <colOff>1066800</colOff>
      <row>3</row>
      <rowOff>114300</rowOff>
    </from>
    <to>
      <col>8</col>
      <colOff>114300</colOff>
      <row>5</row>
      <rowOff>28575</rowOff>
    </to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000874" y="695325"/>
          <a:ext cx="400050" cy="371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9"/>
  <sheetViews>
    <sheetView tabSelected="1" zoomScaleNormal="100" zoomScaleSheetLayoutView="75" workbookViewId="0">
      <selection activeCell="M29" sqref="M29"/>
    </sheetView>
  </sheetViews>
  <sheetFormatPr baseColWidth="8" defaultColWidth="8.88671875" defaultRowHeight="12"/>
  <cols>
    <col width="4.44140625" customWidth="1" style="11" min="1" max="1"/>
    <col width="18.77734375" customWidth="1" style="11" min="2" max="3"/>
    <col width="5" customWidth="1" style="10" min="4" max="4"/>
    <col width="5" customWidth="1" style="11" min="5" max="5"/>
    <col width="8.33203125" customWidth="1" style="11" min="6" max="6"/>
    <col width="8.88671875" bestFit="1" customWidth="1" style="11" min="7" max="7"/>
    <col width="15.77734375" customWidth="1" style="11" min="8" max="8"/>
    <col width="8.88671875" customWidth="1" style="11" min="9" max="16384"/>
  </cols>
  <sheetData>
    <row r="1">
      <c r="A1" s="10" t="n"/>
      <c r="B1" s="10" t="n"/>
      <c r="C1" s="10" t="n"/>
      <c r="E1" s="10" t="n"/>
      <c r="F1" s="10" t="n"/>
      <c r="G1" s="10" t="n"/>
      <c r="H1" s="10" t="n"/>
    </row>
    <row r="2" ht="24.75" customFormat="1" customHeight="1" s="1">
      <c r="A2" s="58" t="inlineStr">
        <is>
          <t>견       적       서</t>
        </is>
      </c>
    </row>
    <row r="3" ht="9" customFormat="1" customHeight="1" s="1">
      <c r="B3" s="12" t="n"/>
      <c r="C3" s="12" t="n"/>
      <c r="D3" s="12" t="n"/>
    </row>
    <row r="4" ht="18" customFormat="1" customHeight="1" s="1">
      <c r="B4" s="2" t="n"/>
      <c r="C4" s="68" t="inlineStr">
        <is>
          <t>2022년   12월   22일</t>
        </is>
      </c>
      <c r="D4" s="69" t="inlineStr">
        <is>
          <t>사업자NO</t>
        </is>
      </c>
      <c r="E4" s="70" t="n"/>
      <c r="F4" s="17" t="inlineStr">
        <is>
          <t>0 0 0 - 0 0 - 0 0 0 0 0</t>
        </is>
      </c>
      <c r="G4" s="71" t="n"/>
      <c r="H4" s="70" t="n"/>
    </row>
    <row r="5" ht="18" customFormat="1" customHeight="1" s="1">
      <c r="B5" s="2" t="n"/>
      <c r="C5" s="4" t="inlineStr">
        <is>
          <t xml:space="preserve"> 오현초등학교귀하</t>
        </is>
      </c>
      <c r="D5" s="69" t="inlineStr">
        <is>
          <t>상   호</t>
        </is>
      </c>
      <c r="E5" s="70" t="n"/>
      <c r="F5" s="69" t="inlineStr">
        <is>
          <t>○○교구사</t>
        </is>
      </c>
      <c r="G5" s="70" t="n"/>
      <c r="H5" s="5" t="inlineStr">
        <is>
          <t>성명 | 탁 현 수 (인)</t>
        </is>
      </c>
    </row>
    <row r="6" ht="18" customFormat="1" customHeight="1" s="1">
      <c r="B6" s="2" t="n"/>
      <c r="C6" s="4" t="inlineStr">
        <is>
          <t>아래와 같이 공급합니다</t>
        </is>
      </c>
      <c r="D6" s="69" t="inlineStr">
        <is>
          <t>사업장주소</t>
        </is>
      </c>
      <c r="E6" s="70" t="n"/>
      <c r="F6" s="72" t="inlineStr">
        <is>
          <t>경기 수원시 ○○구 ○○로 00</t>
        </is>
      </c>
      <c r="G6" s="71" t="n"/>
      <c r="H6" s="70" t="n"/>
    </row>
    <row r="7" ht="18" customFormat="1" customHeight="1" s="1">
      <c r="B7" s="65">
        <f>"합계:"&amp;NUMBERSTRING(B8,1)&amp;"원정"</f>
        <v/>
      </c>
      <c r="D7" s="69" t="inlineStr">
        <is>
          <t>업   태</t>
        </is>
      </c>
      <c r="E7" s="70" t="n"/>
      <c r="F7" s="69" t="inlineStr">
        <is>
          <t>제조.도.소매</t>
        </is>
      </c>
      <c r="G7" s="70" t="n"/>
      <c r="H7" s="8" t="inlineStr">
        <is>
          <t>종목 | 과학교재교구,문구외</t>
        </is>
      </c>
    </row>
    <row r="8" ht="18" customFormat="1" customHeight="1" s="1">
      <c r="B8" s="73">
        <f>G29</f>
        <v/>
      </c>
      <c r="D8" s="69" t="inlineStr">
        <is>
          <t>전화번호</t>
        </is>
      </c>
      <c r="E8" s="70" t="n"/>
      <c r="F8" s="69" t="inlineStr">
        <is>
          <t>031-000-0000</t>
        </is>
      </c>
      <c r="G8" s="70" t="n"/>
      <c r="H8" s="7" t="inlineStr">
        <is>
          <t>FAX | 031-000-0001</t>
        </is>
      </c>
    </row>
    <row r="9" ht="8.25" customFormat="1" customHeight="1" s="1"/>
    <row r="10" ht="6.75" customFormat="1" customHeight="1" s="1"/>
    <row r="11" ht="18" customFormat="1" customHeight="1" s="3">
      <c r="A11" s="15" t="inlineStr">
        <is>
          <t>품번</t>
        </is>
      </c>
      <c r="B11" s="14" t="inlineStr">
        <is>
          <t>품  목</t>
        </is>
      </c>
      <c r="C11" s="15" t="inlineStr">
        <is>
          <t>규  격</t>
        </is>
      </c>
      <c r="D11" s="16" t="inlineStr">
        <is>
          <t>수량</t>
        </is>
      </c>
      <c r="E11" s="15" t="inlineStr">
        <is>
          <t>단위</t>
        </is>
      </c>
      <c r="F11" s="14" t="inlineStr">
        <is>
          <t>단가</t>
        </is>
      </c>
      <c r="G11" s="14" t="inlineStr">
        <is>
          <t>금액</t>
        </is>
      </c>
      <c r="H11" s="17" t="inlineStr">
        <is>
          <t>비    고</t>
        </is>
      </c>
    </row>
    <row r="12" ht="18" customFormat="1" customHeight="1" s="1">
      <c r="A12" s="13" t="n">
        <v>1</v>
      </c>
      <c r="B12" s="48" t="inlineStr">
        <is>
          <t>마샬 액톤2</t>
        </is>
      </c>
      <c r="C12" s="46" t="inlineStr">
        <is>
          <t>블루투스스피커</t>
        </is>
      </c>
      <c r="D12" s="46" t="n">
        <v>2</v>
      </c>
      <c r="E12" s="46" t="inlineStr">
        <is>
          <t>개</t>
        </is>
      </c>
      <c r="F12" s="40" t="n">
        <v>342510</v>
      </c>
      <c r="G12" s="18">
        <f>D12*F12</f>
        <v/>
      </c>
      <c r="H12" s="66" t="n"/>
    </row>
    <row r="13" ht="18" customFormat="1" customHeight="1" s="1">
      <c r="A13" s="13" t="n">
        <v>2</v>
      </c>
      <c r="B13" s="51" t="inlineStr">
        <is>
          <t>로지텍MK850키보드세트</t>
        </is>
      </c>
      <c r="C13" s="46" t="inlineStr">
        <is>
          <t>키보드,마우스벌크세트</t>
        </is>
      </c>
      <c r="D13" s="46" t="n">
        <v>15</v>
      </c>
      <c r="E13" s="46" t="inlineStr">
        <is>
          <t>세트</t>
        </is>
      </c>
      <c r="F13" s="40" t="n">
        <v>126750</v>
      </c>
      <c r="G13" s="18">
        <f>D13*F13</f>
        <v/>
      </c>
      <c r="H13" s="67" t="n"/>
    </row>
    <row r="14" ht="18" customFormat="1" customHeight="1" s="1">
      <c r="A14" s="13" t="n">
        <v>3</v>
      </c>
      <c r="B14" s="48" t="n"/>
      <c r="C14" s="49" t="n"/>
      <c r="D14" s="46" t="n"/>
      <c r="E14" s="46" t="n"/>
      <c r="F14" s="40" t="n"/>
      <c r="G14" s="18">
        <f>D14*F14</f>
        <v/>
      </c>
      <c r="H14" s="30" t="n"/>
    </row>
    <row r="15" ht="18" customFormat="1" customHeight="1" s="1">
      <c r="A15" s="13" t="n">
        <v>4</v>
      </c>
      <c r="B15" s="47" t="n"/>
      <c r="C15" s="49" t="n"/>
      <c r="D15" s="46" t="n"/>
      <c r="E15" s="46" t="n"/>
      <c r="F15" s="40" t="n"/>
      <c r="G15" s="18">
        <f>D15*F15</f>
        <v/>
      </c>
      <c r="H15" s="30" t="n"/>
    </row>
    <row r="16" ht="18" customFormat="1" customHeight="1" s="1">
      <c r="A16" s="13" t="n">
        <v>5</v>
      </c>
      <c r="B16" s="47" t="n"/>
      <c r="C16" s="50" t="n"/>
      <c r="D16" s="46" t="n"/>
      <c r="E16" s="46" t="n"/>
      <c r="F16" s="74" t="n"/>
      <c r="G16" s="18">
        <f>D16*F16</f>
        <v/>
      </c>
      <c r="H16" s="30" t="n"/>
    </row>
    <row r="17" ht="18" customFormat="1" customHeight="1" s="1">
      <c r="A17" s="13" t="n">
        <v>6</v>
      </c>
      <c r="B17" s="46" t="n"/>
      <c r="C17" s="46" t="n"/>
      <c r="D17" s="46" t="n"/>
      <c r="E17" s="46" t="n"/>
      <c r="F17" s="40" t="n"/>
      <c r="G17" s="18">
        <f>D17*F17</f>
        <v/>
      </c>
      <c r="H17" s="30" t="n"/>
    </row>
    <row r="18" ht="18" customFormat="1" customHeight="1" s="1">
      <c r="A18" s="13" t="n">
        <v>7</v>
      </c>
      <c r="B18" s="46" t="n"/>
      <c r="C18" s="46" t="n"/>
      <c r="D18" s="46" t="n"/>
      <c r="E18" s="75" t="n"/>
      <c r="F18" s="40" t="n"/>
      <c r="G18" s="18">
        <f>D18*F18</f>
        <v/>
      </c>
      <c r="H18" s="30" t="n"/>
    </row>
    <row r="19" ht="18" customFormat="1" customHeight="1" s="1">
      <c r="A19" s="13" t="n">
        <v>8</v>
      </c>
      <c r="B19" s="46" t="n"/>
      <c r="C19" s="42" t="n"/>
      <c r="D19" s="46" t="n"/>
      <c r="E19" s="75" t="n"/>
      <c r="F19" s="40" t="n"/>
      <c r="G19" s="18">
        <f>D19*F19</f>
        <v/>
      </c>
      <c r="H19" s="30" t="n"/>
    </row>
    <row r="20" ht="18" customFormat="1" customHeight="1" s="1">
      <c r="A20" s="13" t="n">
        <v>9</v>
      </c>
      <c r="B20" s="30" t="n"/>
      <c r="C20" s="20" t="n"/>
      <c r="D20" s="20" t="n"/>
      <c r="E20" s="20" t="n"/>
      <c r="F20" s="19" t="n"/>
      <c r="G20" s="18">
        <f>D20*F20</f>
        <v/>
      </c>
      <c r="H20" s="30" t="n"/>
    </row>
    <row r="21" ht="18" customFormat="1" customHeight="1" s="1">
      <c r="A21" s="13" t="n">
        <v>10</v>
      </c>
      <c r="B21" s="30" t="n"/>
      <c r="C21" s="30" t="n"/>
      <c r="D21" s="30" t="n"/>
      <c r="E21" s="30" t="n"/>
      <c r="F21" s="19" t="n"/>
      <c r="G21" s="18">
        <f>D21*F21</f>
        <v/>
      </c>
      <c r="H21" s="30" t="n"/>
    </row>
    <row r="22" ht="18" customFormat="1" customHeight="1" s="1">
      <c r="A22" s="13" t="n">
        <v>11</v>
      </c>
      <c r="B22" s="30" t="n"/>
      <c r="C22" s="52" t="n"/>
      <c r="D22" s="30" t="n"/>
      <c r="E22" s="30" t="n"/>
      <c r="F22" s="19" t="n"/>
      <c r="G22" s="18">
        <f>D22*F22</f>
        <v/>
      </c>
      <c r="H22" s="30" t="n"/>
    </row>
    <row r="23" ht="18" customFormat="1" customHeight="1" s="1">
      <c r="A23" s="13" t="n">
        <v>12</v>
      </c>
      <c r="B23" s="22" t="n"/>
      <c r="C23" s="22" t="n"/>
      <c r="D23" s="23" t="n"/>
      <c r="E23" s="24" t="n"/>
      <c r="F23" s="21" t="n"/>
      <c r="G23" s="18">
        <f>D23*F23</f>
        <v/>
      </c>
      <c r="H23" s="30" t="n"/>
    </row>
    <row r="24" ht="18" customFormat="1" customHeight="1" s="1">
      <c r="A24" s="13" t="n">
        <v>13</v>
      </c>
      <c r="B24" s="30" t="n"/>
      <c r="C24" s="52" t="n"/>
      <c r="D24" s="30" t="n"/>
      <c r="E24" s="30" t="n"/>
      <c r="F24" s="19" t="n"/>
      <c r="G24" s="18">
        <f>D24*F24</f>
        <v/>
      </c>
      <c r="H24" s="30" t="n"/>
    </row>
    <row r="25" ht="18" customFormat="1" customHeight="1" s="1">
      <c r="A25" s="13" t="n">
        <v>14</v>
      </c>
      <c r="B25" s="22" t="n"/>
      <c r="C25" s="22" t="n"/>
      <c r="D25" s="23" t="n"/>
      <c r="E25" s="24" t="n"/>
      <c r="F25" s="21" t="n"/>
      <c r="G25" s="18">
        <f>D25*F25</f>
        <v/>
      </c>
      <c r="H25" s="30" t="n"/>
    </row>
    <row r="26" ht="18" customFormat="1" customHeight="1" s="1">
      <c r="A26" s="13" t="n">
        <v>15</v>
      </c>
      <c r="B26" s="30" t="n"/>
      <c r="C26" s="52" t="n"/>
      <c r="D26" s="30" t="n"/>
      <c r="E26" s="30" t="n"/>
      <c r="F26" s="19" t="n"/>
      <c r="G26" s="18">
        <f>D26*F26</f>
        <v/>
      </c>
      <c r="H26" s="30" t="n"/>
    </row>
    <row r="27" ht="18" customFormat="1" customHeight="1" s="1">
      <c r="A27" s="13" t="n">
        <v>16</v>
      </c>
      <c r="B27" s="22" t="n"/>
      <c r="C27" s="22" t="n"/>
      <c r="D27" s="23" t="n"/>
      <c r="E27" s="24" t="n"/>
      <c r="F27" s="21" t="n"/>
      <c r="G27" s="18">
        <f>D27*F27</f>
        <v/>
      </c>
      <c r="H27" s="41" t="inlineStr">
        <is>
          <t>기업은행=○○교구사</t>
        </is>
      </c>
    </row>
    <row r="28" ht="18" customFormat="1" customHeight="1" s="1">
      <c r="A28" s="13" t="n">
        <v>17</v>
      </c>
      <c r="B28" s="25" t="n"/>
      <c r="C28" s="25" t="n"/>
      <c r="D28" s="26" t="n"/>
      <c r="E28" s="27" t="n"/>
      <c r="F28" s="28" t="n"/>
      <c r="G28" s="18">
        <f>D28*F28</f>
        <v/>
      </c>
      <c r="H28" s="29" t="inlineStr">
        <is>
          <t>000-000000-00-000</t>
        </is>
      </c>
    </row>
    <row r="29" ht="18" customHeight="1" s="76" thickBot="1">
      <c r="A29" s="31" t="n"/>
      <c r="B29" s="32" t="inlineStr">
        <is>
          <t>합   계</t>
        </is>
      </c>
      <c r="C29" s="33" t="n"/>
      <c r="D29" s="34" t="n"/>
      <c r="E29" s="35" t="n"/>
      <c r="F29" s="77" t="n"/>
      <c r="G29" s="37">
        <f>SUM(G12:G28)</f>
        <v/>
      </c>
      <c r="H29" s="38" t="n"/>
    </row>
  </sheetData>
  <mergeCells count="13">
    <mergeCell ref="D8:E8"/>
    <mergeCell ref="D6:E6"/>
    <mergeCell ref="F6:H6"/>
    <mergeCell ref="D7:E7"/>
    <mergeCell ref="B7:C7"/>
    <mergeCell ref="A2:H2"/>
    <mergeCell ref="F5:G5"/>
    <mergeCell ref="D5:E5"/>
    <mergeCell ref="F4:H4"/>
    <mergeCell ref="D4:E4"/>
    <mergeCell ref="B8:C8"/>
    <mergeCell ref="F7:G7"/>
    <mergeCell ref="F8:G8"/>
  </mergeCells>
  <pageMargins left="0.1298611164093018" right="0.1298611164093018" top="0.7475000023841858" bottom="0.7086111307144165" header="0.3700000047683716" footer="0.3934722244739532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zoomScaleNormal="100" zoomScaleSheetLayoutView="75" workbookViewId="0">
      <selection activeCell="B8" sqref="B8"/>
    </sheetView>
  </sheetViews>
  <sheetFormatPr baseColWidth="8" defaultColWidth="8.88671875" defaultRowHeight="13.5"/>
  <sheetData/>
  <pageMargins left="0.6997222304344177" right="0.6997222304344177" top="0.75" bottom="0.75" header="0.300000011920929" footer="0.300000011920929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</dc:creator>
  <dcterms:created xmlns:dcterms="http://purl.org/dc/terms/" xmlns:xsi="http://www.w3.org/2001/XMLSchema-instance" xsi:type="dcterms:W3CDTF">2006-05-18T02:17:35Z</dcterms:created>
  <dcterms:modified xmlns:dcterms="http://purl.org/dc/terms/" xmlns:xsi="http://www.w3.org/2001/XMLSchema-instance" xsi:type="dcterms:W3CDTF">2026-10-05T11:16:23Z</dcterms:modified>
  <cp:lastModifiedBy>실습용</cp:lastModifiedBy>
  <cp:version>1000.0100.01</cp:version>
  <cp:revision>12</cp:revision>
  <cp:lastPrinted>2021-09-13T05:22:34Z</cp:lastPrinted>
</cp:coreProperties>
</file>