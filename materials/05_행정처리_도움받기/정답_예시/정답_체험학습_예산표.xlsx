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1_{639AE36A-3573-4BA4-BE85-D6ED62A720D0}" xr6:coauthVersionLast="47" xr6:coauthVersionMax="47" xr10:uidLastSave="{00000000-0000-0000-0000-000000000000}"/>
  <bookViews>
    <workbookView xWindow="0" yWindow="930" windowWidth="21480" windowHeight="11295" xr2:uid="{00000000-000D-0000-FFFF-FFFF00000000}"/>
  </bookViews>
  <sheets>
    <sheet name="예산표" sheetId="1" r:id="rId1"/>
    <sheet name="조건" sheetId="2" r:id="rId2"/>
    <sheet name="조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3" l="1"/>
  <c r="E9" i="3"/>
  <c r="G9" i="3" s="1"/>
  <c r="F8" i="3"/>
  <c r="E8" i="3"/>
  <c r="G8" i="3" s="1"/>
  <c r="F7" i="3"/>
  <c r="E7" i="3"/>
  <c r="G7" i="3" s="1"/>
  <c r="F6" i="3"/>
  <c r="E6" i="3"/>
  <c r="G6" i="3" s="1"/>
  <c r="F5" i="3"/>
  <c r="E5" i="3"/>
  <c r="G5" i="3" s="1"/>
  <c r="F4" i="3"/>
  <c r="F10" i="3" s="1"/>
  <c r="F13" i="3" s="1"/>
  <c r="F14" i="3" s="1"/>
  <c r="E4" i="3"/>
  <c r="E10" i="3" s="1"/>
  <c r="E7" i="1"/>
  <c r="E6" i="1"/>
  <c r="E5" i="1"/>
  <c r="E4" i="1"/>
  <c r="E3" i="1"/>
  <c r="E2" i="1"/>
  <c r="E8" i="1" s="1"/>
  <c r="G4" i="3" l="1"/>
  <c r="G10" i="3" s="1"/>
</calcChain>
</file>

<file path=xl/sharedStrings.xml><?xml version="1.0" encoding="utf-8"?>
<sst xmlns="http://schemas.openxmlformats.org/spreadsheetml/2006/main" count="68" uniqueCount="53">
  <si>
    <t>품목</t>
  </si>
  <si>
    <t>규격</t>
  </si>
  <si>
    <t>단가</t>
  </si>
  <si>
    <t>수량</t>
  </si>
  <si>
    <t>금액</t>
  </si>
  <si>
    <t>예산과목</t>
  </si>
  <si>
    <t>비고</t>
  </si>
  <si>
    <t>산출 내역(품의용)</t>
  </si>
  <si>
    <t>전세버스</t>
  </si>
  <si>
    <t>45인승</t>
  </si>
  <si>
    <t>임차료</t>
  </si>
  <si>
    <t>전세버스(45인승): 450,000원 × 2대 = 900,000원</t>
  </si>
  <si>
    <t>여행자보험</t>
  </si>
  <si>
    <t>1인</t>
  </si>
  <si>
    <t>보험료</t>
  </si>
  <si>
    <t>정정: 적힌 금액 116,000 → 117,600 (1,600원 적게 적혀 있었음)</t>
  </si>
  <si>
    <t>여행자보험: 1,200원 × 98명 = 117,600원</t>
  </si>
  <si>
    <t>간식</t>
  </si>
  <si>
    <t>1개</t>
  </si>
  <si>
    <t>학생복지비</t>
  </si>
  <si>
    <t>간식(1개): 1,500원 × 105개 = 157,500원</t>
  </si>
  <si>
    <t>구급약품</t>
  </si>
  <si>
    <t>1세트</t>
  </si>
  <si>
    <t>교육운영비</t>
  </si>
  <si>
    <t>구급약품: 25,000원 × 2세트 = 50,000원</t>
  </si>
  <si>
    <t>물티슈</t>
  </si>
  <si>
    <t>정정: 적힌 금액 8,000 → 80,000 (0이 하나 빠져 72,000원 적게 적혀 있었음)</t>
  </si>
  <si>
    <t>물티슈: 800원 × 100개 = 80,000원</t>
  </si>
  <si>
    <t>예비 재료</t>
  </si>
  <si>
    <t>1식</t>
  </si>
  <si>
    <t>예비 재료: 50,000원 × 1식 = 50,000원</t>
  </si>
  <si>
    <t>합계</t>
  </si>
  <si>
    <t>정정 합계 1,355,100원 / 총예산 1,200,000원 → 155,100원 초과</t>
  </si>
  <si>
    <t>총 예산</t>
  </si>
  <si>
    <t>학생 수</t>
  </si>
  <si>
    <t>인솔 교사</t>
  </si>
  <si>
    <t>유지 조건</t>
  </si>
  <si>
    <t>버스비·보험료·구급약품은 변경 불가 / 간식은 1인 1개 이상</t>
  </si>
  <si>
    <t>② 조건 안에서 총예산 맞추기 — 결론: 조건 안에서는 맞출 수 없음 (최소 14,600원 부족)</t>
  </si>
  <si>
    <t>지금 수량</t>
  </si>
  <si>
    <t>바꿀 수량(최대한 줄인 경우)</t>
  </si>
  <si>
    <t>지금 금액</t>
  </si>
  <si>
    <t>바꾼 금액</t>
  </si>
  <si>
    <t>줄어드는 금액</t>
  </si>
  <si>
    <t>근거</t>
  </si>
  <si>
    <t>변경 불가(조건)</t>
  </si>
  <si>
    <t>학생 1인 1개 이상 → 최소 98개</t>
  </si>
  <si>
    <t>0개까지 줄여도</t>
  </si>
  <si>
    <t>0식까지 줄여도</t>
  </si>
  <si>
    <t>최소로 줄인 합계</t>
  </si>
  <si>
    <t>부족액</t>
  </si>
  <si>
    <t>→ 억지로 맞추지 말고 "부족"을 보고(보험 수량·간식 98개 미만으로 줄이면 조건 위반)</t>
  </si>
  <si>
    <t>참고: 인솔 교사 6명에게도 간식을 주면(104개) 23,600원 부족 / 물티슈·예비 재료를 그대로 두면 144,600원 부족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</si>
</sst>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0" xfId="0" applyFont="1"/>
    <xf numFmtId="3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0" xfId="0" applyFont="1"/>
    <xf numFmtId="0" fontId="1" fillId="4" borderId="0" xfId="0" applyFont="1" applyFill="1"/>
    <xf numFmtId="3" fontId="0" fillId="0" borderId="0" xfId="0" applyNumberFormat="1"/>
    <xf numFmtId="3" fontId="0" fillId="3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6.5" x14ac:dyDescent="0.3"/>
  <cols>
    <col min="1" max="1" width="12" customWidth="1"/>
    <col min="2" max="3" width="10" customWidth="1"/>
    <col min="4" max="4" width="8" customWidth="1"/>
    <col min="5" max="6" width="12" customWidth="1"/>
    <col min="7" max="7" width="58" customWidth="1"/>
    <col min="8" max="8" width="4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spans="1:8" x14ac:dyDescent="0.3">
      <c r="A2" s="2" t="s">
        <v>8</v>
      </c>
      <c r="B2" s="2" t="s">
        <v>9</v>
      </c>
      <c r="C2" s="3">
        <v>450000</v>
      </c>
      <c r="D2" s="3">
        <v>2</v>
      </c>
      <c r="E2" s="3">
        <f t="shared" ref="E2:E7" si="0">C2*D2</f>
        <v>900000</v>
      </c>
      <c r="F2" s="2" t="s">
        <v>10</v>
      </c>
      <c r="G2" s="2"/>
      <c r="H2" t="s">
        <v>11</v>
      </c>
    </row>
    <row r="3" spans="1:8" x14ac:dyDescent="0.3">
      <c r="A3" s="2" t="s">
        <v>12</v>
      </c>
      <c r="B3" s="2" t="s">
        <v>13</v>
      </c>
      <c r="C3" s="3">
        <v>1200</v>
      </c>
      <c r="D3" s="3">
        <v>98</v>
      </c>
      <c r="E3" s="5">
        <f t="shared" si="0"/>
        <v>117600</v>
      </c>
      <c r="F3" s="2" t="s">
        <v>14</v>
      </c>
      <c r="G3" s="6" t="s">
        <v>15</v>
      </c>
      <c r="H3" t="s">
        <v>16</v>
      </c>
    </row>
    <row r="4" spans="1:8" x14ac:dyDescent="0.3">
      <c r="A4" s="2" t="s">
        <v>17</v>
      </c>
      <c r="B4" s="2" t="s">
        <v>18</v>
      </c>
      <c r="C4" s="3">
        <v>1500</v>
      </c>
      <c r="D4" s="3">
        <v>105</v>
      </c>
      <c r="E4" s="3">
        <f t="shared" si="0"/>
        <v>157500</v>
      </c>
      <c r="F4" s="2" t="s">
        <v>19</v>
      </c>
      <c r="G4" s="2"/>
      <c r="H4" t="s">
        <v>20</v>
      </c>
    </row>
    <row r="5" spans="1:8" x14ac:dyDescent="0.3">
      <c r="A5" s="2" t="s">
        <v>21</v>
      </c>
      <c r="B5" s="2" t="s">
        <v>22</v>
      </c>
      <c r="C5" s="3">
        <v>25000</v>
      </c>
      <c r="D5" s="3">
        <v>2</v>
      </c>
      <c r="E5" s="3">
        <f t="shared" si="0"/>
        <v>50000</v>
      </c>
      <c r="F5" s="2" t="s">
        <v>23</v>
      </c>
      <c r="G5" s="2"/>
      <c r="H5" t="s">
        <v>24</v>
      </c>
    </row>
    <row r="6" spans="1:8" ht="33" x14ac:dyDescent="0.3">
      <c r="A6" s="2" t="s">
        <v>25</v>
      </c>
      <c r="B6" s="2" t="s">
        <v>18</v>
      </c>
      <c r="C6" s="3">
        <v>800</v>
      </c>
      <c r="D6" s="3">
        <v>100</v>
      </c>
      <c r="E6" s="5">
        <f t="shared" si="0"/>
        <v>80000</v>
      </c>
      <c r="F6" s="2" t="s">
        <v>23</v>
      </c>
      <c r="G6" s="6" t="s">
        <v>26</v>
      </c>
      <c r="H6" t="s">
        <v>27</v>
      </c>
    </row>
    <row r="7" spans="1:8" x14ac:dyDescent="0.3">
      <c r="A7" s="2" t="s">
        <v>28</v>
      </c>
      <c r="B7" s="2" t="s">
        <v>29</v>
      </c>
      <c r="C7" s="3">
        <v>50000</v>
      </c>
      <c r="D7" s="3">
        <v>1</v>
      </c>
      <c r="E7" s="3">
        <f t="shared" si="0"/>
        <v>50000</v>
      </c>
      <c r="F7" s="2" t="s">
        <v>23</v>
      </c>
      <c r="G7" s="2"/>
      <c r="H7" t="s">
        <v>30</v>
      </c>
    </row>
    <row r="8" spans="1:8" x14ac:dyDescent="0.3">
      <c r="A8" s="2"/>
      <c r="B8" s="2"/>
      <c r="C8" s="2"/>
      <c r="D8" s="2" t="s">
        <v>31</v>
      </c>
      <c r="E8" s="3">
        <f>SUM(E2:E7)</f>
        <v>1355100</v>
      </c>
      <c r="F8" s="2"/>
      <c r="G8" s="2" t="s">
        <v>32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6.5" x14ac:dyDescent="0.3"/>
  <cols>
    <col min="1" max="1" width="12" customWidth="1"/>
    <col min="2" max="2" width="50" customWidth="1"/>
  </cols>
  <sheetData>
    <row r="1" spans="1:2" x14ac:dyDescent="0.3">
      <c r="A1" t="s">
        <v>33</v>
      </c>
      <c r="B1">
        <v>1200000</v>
      </c>
    </row>
    <row r="2" spans="1:2" x14ac:dyDescent="0.3">
      <c r="A2" t="s">
        <v>34</v>
      </c>
      <c r="B2">
        <v>98</v>
      </c>
    </row>
    <row r="3" spans="1:2" x14ac:dyDescent="0.3">
      <c r="A3" t="s">
        <v>35</v>
      </c>
      <c r="B3">
        <v>6</v>
      </c>
    </row>
    <row r="4" spans="1:2" x14ac:dyDescent="0.3">
      <c r="A4" t="s">
        <v>36</v>
      </c>
      <c r="B4" t="s">
        <v>37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6.5" x14ac:dyDescent="0.3"/>
  <cols>
    <col min="1" max="1" width="14" customWidth="1"/>
    <col min="2" max="2" width="10" customWidth="1"/>
    <col min="3" max="3" width="24" customWidth="1"/>
    <col min="4" max="4" width="10" customWidth="1"/>
    <col min="5" max="6" width="12" customWidth="1"/>
    <col min="7" max="7" width="14" customWidth="1"/>
    <col min="8" max="8" width="60" customWidth="1"/>
  </cols>
  <sheetData>
    <row r="1" spans="1:8" ht="17.25" x14ac:dyDescent="0.3">
      <c r="A1" s="7" t="s">
        <v>38</v>
      </c>
    </row>
    <row r="3" spans="1:8" x14ac:dyDescent="0.3">
      <c r="A3" s="8" t="s">
        <v>0</v>
      </c>
      <c r="B3" s="8" t="s">
        <v>39</v>
      </c>
      <c r="C3" s="8" t="s">
        <v>40</v>
      </c>
      <c r="D3" s="8" t="s">
        <v>2</v>
      </c>
      <c r="E3" s="8" t="s">
        <v>41</v>
      </c>
      <c r="F3" s="8" t="s">
        <v>42</v>
      </c>
      <c r="G3" s="8" t="s">
        <v>43</v>
      </c>
      <c r="H3" s="8" t="s">
        <v>44</v>
      </c>
    </row>
    <row r="4" spans="1:8" x14ac:dyDescent="0.3">
      <c r="A4" t="s">
        <v>8</v>
      </c>
      <c r="B4">
        <v>2</v>
      </c>
      <c r="C4">
        <v>2</v>
      </c>
      <c r="D4" s="9">
        <v>450000</v>
      </c>
      <c r="E4" s="9">
        <f t="shared" ref="E4:E9" si="0">B4*D4</f>
        <v>900000</v>
      </c>
      <c r="F4" s="9">
        <f t="shared" ref="F4:F9" si="1">C4*D4</f>
        <v>900000</v>
      </c>
      <c r="G4" s="9">
        <f t="shared" ref="G4:G9" si="2">E4-F4</f>
        <v>0</v>
      </c>
      <c r="H4" t="s">
        <v>45</v>
      </c>
    </row>
    <row r="5" spans="1:8" x14ac:dyDescent="0.3">
      <c r="A5" t="s">
        <v>12</v>
      </c>
      <c r="B5">
        <v>98</v>
      </c>
      <c r="C5">
        <v>98</v>
      </c>
      <c r="D5" s="9">
        <v>1200</v>
      </c>
      <c r="E5" s="9">
        <f t="shared" si="0"/>
        <v>117600</v>
      </c>
      <c r="F5" s="9">
        <f t="shared" si="1"/>
        <v>117600</v>
      </c>
      <c r="G5" s="9">
        <f t="shared" si="2"/>
        <v>0</v>
      </c>
      <c r="H5" t="s">
        <v>45</v>
      </c>
    </row>
    <row r="6" spans="1:8" x14ac:dyDescent="0.3">
      <c r="A6" t="s">
        <v>17</v>
      </c>
      <c r="B6">
        <v>105</v>
      </c>
      <c r="C6">
        <v>98</v>
      </c>
      <c r="D6" s="9">
        <v>1500</v>
      </c>
      <c r="E6" s="9">
        <f t="shared" si="0"/>
        <v>157500</v>
      </c>
      <c r="F6" s="9">
        <f t="shared" si="1"/>
        <v>147000</v>
      </c>
      <c r="G6" s="9">
        <f t="shared" si="2"/>
        <v>10500</v>
      </c>
      <c r="H6" t="s">
        <v>46</v>
      </c>
    </row>
    <row r="7" spans="1:8" x14ac:dyDescent="0.3">
      <c r="A7" t="s">
        <v>21</v>
      </c>
      <c r="B7">
        <v>2</v>
      </c>
      <c r="C7">
        <v>2</v>
      </c>
      <c r="D7" s="9">
        <v>25000</v>
      </c>
      <c r="E7" s="9">
        <f t="shared" si="0"/>
        <v>50000</v>
      </c>
      <c r="F7" s="9">
        <f t="shared" si="1"/>
        <v>50000</v>
      </c>
      <c r="G7" s="9">
        <f t="shared" si="2"/>
        <v>0</v>
      </c>
      <c r="H7" t="s">
        <v>45</v>
      </c>
    </row>
    <row r="8" spans="1:8" x14ac:dyDescent="0.3">
      <c r="A8" t="s">
        <v>25</v>
      </c>
      <c r="B8">
        <v>100</v>
      </c>
      <c r="C8">
        <v>0</v>
      </c>
      <c r="D8" s="9">
        <v>800</v>
      </c>
      <c r="E8" s="9">
        <f t="shared" si="0"/>
        <v>80000</v>
      </c>
      <c r="F8" s="9">
        <f t="shared" si="1"/>
        <v>0</v>
      </c>
      <c r="G8" s="9">
        <f t="shared" si="2"/>
        <v>80000</v>
      </c>
      <c r="H8" t="s">
        <v>47</v>
      </c>
    </row>
    <row r="9" spans="1:8" x14ac:dyDescent="0.3">
      <c r="A9" t="s">
        <v>28</v>
      </c>
      <c r="B9">
        <v>1</v>
      </c>
      <c r="C9">
        <v>0</v>
      </c>
      <c r="D9" s="9">
        <v>50000</v>
      </c>
      <c r="E9" s="9">
        <f t="shared" si="0"/>
        <v>50000</v>
      </c>
      <c r="F9" s="9">
        <f t="shared" si="1"/>
        <v>0</v>
      </c>
      <c r="G9" s="9">
        <f t="shared" si="2"/>
        <v>50000</v>
      </c>
      <c r="H9" t="s">
        <v>48</v>
      </c>
    </row>
    <row r="10" spans="1:8" x14ac:dyDescent="0.3">
      <c r="A10" t="s">
        <v>31</v>
      </c>
      <c r="D10" s="9"/>
      <c r="E10" s="9">
        <f>SUM(E4:E9)</f>
        <v>1355100</v>
      </c>
      <c r="F10" s="9">
        <f>SUM(F4:F9)</f>
        <v>1214600</v>
      </c>
      <c r="G10" s="9">
        <f>SUM(G4:G9)</f>
        <v>140500</v>
      </c>
    </row>
    <row r="11" spans="1:8" x14ac:dyDescent="0.3">
      <c r="D11" s="9"/>
      <c r="E11" s="9"/>
      <c r="F11" s="9"/>
      <c r="G11" s="9"/>
    </row>
    <row r="12" spans="1:8" x14ac:dyDescent="0.3">
      <c r="A12" t="s">
        <v>33</v>
      </c>
      <c r="D12" s="9"/>
      <c r="E12" s="9"/>
      <c r="F12" s="9">
        <v>1200000</v>
      </c>
      <c r="G12" s="9"/>
    </row>
    <row r="13" spans="1:8" x14ac:dyDescent="0.3">
      <c r="A13" t="s">
        <v>49</v>
      </c>
      <c r="D13" s="9"/>
      <c r="E13" s="9"/>
      <c r="F13" s="9">
        <f>F10</f>
        <v>1214600</v>
      </c>
      <c r="G13" s="9"/>
    </row>
    <row r="14" spans="1:8" x14ac:dyDescent="0.3">
      <c r="A14" s="4" t="s">
        <v>50</v>
      </c>
      <c r="D14" s="9"/>
      <c r="E14" s="9"/>
      <c r="F14" s="10">
        <f>F13-F12</f>
        <v>14600</v>
      </c>
      <c r="G14" s="9"/>
      <c r="H14" t="s">
        <v>51</v>
      </c>
    </row>
    <row r="16" spans="1:8" x14ac:dyDescent="0.3">
      <c r="A16" t="s">
        <v>52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예산표</vt:lpstr>
      <vt:lpstr>조건</vt:lpstr>
      <vt:lpstr>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실습용</dc:creator>
  <cp:lastModifiedBy>실습용</cp:lastModifiedBy>
  <dcterms:created xsi:type="dcterms:W3CDTF">2026-10-05T11:02:40Z</dcterms:created>
  <dcterms:modified xsi:type="dcterms:W3CDTF">2026-10-05T12:24:16Z</dcterms:modified>
</cp:coreProperties>
</file>